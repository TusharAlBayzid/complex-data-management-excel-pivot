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aw Data" sheetId="1" state="visible" r:id="rId1"/>
    <sheet xmlns:r="http://schemas.openxmlformats.org/officeDocument/2006/relationships" name="Pivot Report" sheetId="2" state="visible" r:id="rId2"/>
    <sheet xmlns:r="http://schemas.openxmlformats.org/officeDocument/2006/relationships" name="Goal Seek Result" sheetId="3" state="visible" r:id="rId3"/>
    <sheet xmlns:r="http://schemas.openxmlformats.org/officeDocument/2006/relationships" name="Scenario Summary" sheetId="4" state="visible" r:id="rId4"/>
    <sheet xmlns:r="http://schemas.openxmlformats.org/officeDocument/2006/relationships" name="Pivotby Fun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৳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i val="1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4E78"/>
      <sz val="12"/>
    </font>
    <font>
      <name val="Arial"/>
      <b val="1"/>
      <color rgb="001F4E78"/>
      <sz val="14"/>
    </font>
    <font>
      <name val="Arial"/>
      <i val="1"/>
      <sz val="10"/>
    </font>
    <font>
      <name val="Courier New"/>
      <b val="1"/>
      <color rgb="00A51D24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595959"/>
        <bgColor rgb="00595959"/>
      </patternFill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5" fillId="4" borderId="0" pivotButton="0" quotePrefix="0" xfId="0"/>
    <xf numFmtId="0" fontId="5" fillId="4" borderId="2" applyAlignment="1" pivotButton="0" quotePrefix="0" xfId="0">
      <alignment horizontal="right"/>
    </xf>
    <xf numFmtId="0" fontId="6" fillId="0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7" fillId="0" borderId="0" pivotButton="0" quotePrefix="0" xfId="0"/>
    <xf numFmtId="0" fontId="4" fillId="6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8" fillId="0" borderId="0" pivotButton="0" quotePrefix="0" xfId="0"/>
    <xf numFmtId="0" fontId="9" fillId="0" borderId="0" pivotButton="0" quotePrefix="0" xfId="0"/>
    <xf numFmtId="0" fontId="5" fillId="7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2" customWidth="1" min="4" max="4"/>
    <col width="12" customWidth="1" min="5" max="5"/>
    <col width="13" customWidth="1" min="6" max="6"/>
    <col width="14" customWidth="1" min="7" max="7"/>
  </cols>
  <sheetData>
    <row r="1">
      <c r="A1" s="1" t="inlineStr">
        <is>
          <t>Order 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Sales</t>
        </is>
      </c>
    </row>
    <row r="2">
      <c r="A2" s="2" t="inlineStr">
        <is>
          <t>2026-01-10</t>
        </is>
      </c>
      <c r="B2" s="2" t="inlineStr">
        <is>
          <t>Dhaka</t>
        </is>
      </c>
      <c r="C2" s="2" t="inlineStr">
        <is>
          <t>Amin</t>
        </is>
      </c>
      <c r="D2" s="2" t="inlineStr">
        <is>
          <t>Laptop</t>
        </is>
      </c>
      <c r="E2" s="3" t="n">
        <v>5</v>
      </c>
      <c r="F2" s="4" t="n">
        <v>45000</v>
      </c>
      <c r="G2" s="4">
        <f>E2*F2</f>
        <v/>
      </c>
    </row>
    <row r="3">
      <c r="A3" s="2" t="inlineStr">
        <is>
          <t>2026-01-15</t>
        </is>
      </c>
      <c r="B3" s="2" t="inlineStr">
        <is>
          <t>Sylhet</t>
        </is>
      </c>
      <c r="C3" s="2" t="inlineStr">
        <is>
          <t>Bayzid</t>
        </is>
      </c>
      <c r="D3" s="2" t="inlineStr">
        <is>
          <t>Phone</t>
        </is>
      </c>
      <c r="E3" s="3" t="n">
        <v>12</v>
      </c>
      <c r="F3" s="4" t="n">
        <v>25000</v>
      </c>
      <c r="G3" s="4">
        <f>E3*F3</f>
        <v/>
      </c>
    </row>
    <row r="4">
      <c r="A4" s="2" t="inlineStr">
        <is>
          <t>2026-01-20</t>
        </is>
      </c>
      <c r="B4" s="2" t="inlineStr">
        <is>
          <t>Chittagong</t>
        </is>
      </c>
      <c r="C4" s="2" t="inlineStr">
        <is>
          <t>Nusrat</t>
        </is>
      </c>
      <c r="D4" s="2" t="inlineStr">
        <is>
          <t>Tablet</t>
        </is>
      </c>
      <c r="E4" s="3" t="n">
        <v>8</v>
      </c>
      <c r="F4" s="4" t="n">
        <v>15000</v>
      </c>
      <c r="G4" s="4">
        <f>E4*F4</f>
        <v/>
      </c>
    </row>
    <row r="5">
      <c r="A5" s="2" t="inlineStr">
        <is>
          <t>2026-02-05</t>
        </is>
      </c>
      <c r="B5" s="2" t="inlineStr">
        <is>
          <t>Dhaka</t>
        </is>
      </c>
      <c r="C5" s="2" t="inlineStr">
        <is>
          <t>Amin</t>
        </is>
      </c>
      <c r="D5" s="2" t="inlineStr">
        <is>
          <t>Monitor</t>
        </is>
      </c>
      <c r="E5" s="3" t="n">
        <v>15</v>
      </c>
      <c r="F5" s="4" t="n">
        <v>12000</v>
      </c>
      <c r="G5" s="4">
        <f>E5*F5</f>
        <v/>
      </c>
    </row>
    <row r="6">
      <c r="A6" s="2" t="inlineStr">
        <is>
          <t>2026-02-12</t>
        </is>
      </c>
      <c r="B6" s="2" t="inlineStr">
        <is>
          <t>Sylhet</t>
        </is>
      </c>
      <c r="C6" s="2" t="inlineStr">
        <is>
          <t>Karim</t>
        </is>
      </c>
      <c r="D6" s="2" t="inlineStr">
        <is>
          <t>Laptop</t>
        </is>
      </c>
      <c r="E6" s="3" t="n">
        <v>3</v>
      </c>
      <c r="F6" s="4" t="n">
        <v>45000</v>
      </c>
      <c r="G6" s="4">
        <f>E6*F6</f>
        <v/>
      </c>
    </row>
    <row r="7">
      <c r="A7" s="2" t="inlineStr">
        <is>
          <t>2026-02-18</t>
        </is>
      </c>
      <c r="B7" s="2" t="inlineStr">
        <is>
          <t>Chittagong</t>
        </is>
      </c>
      <c r="C7" s="2" t="inlineStr">
        <is>
          <t>Nusrat</t>
        </is>
      </c>
      <c r="D7" s="2" t="inlineStr">
        <is>
          <t>Phone</t>
        </is>
      </c>
      <c r="E7" s="3" t="n">
        <v>10</v>
      </c>
      <c r="F7" s="4" t="n">
        <v>25000</v>
      </c>
      <c r="G7" s="4">
        <f>E7*F7</f>
        <v/>
      </c>
    </row>
    <row r="8">
      <c r="A8" s="2" t="inlineStr">
        <is>
          <t>2026-03-02</t>
        </is>
      </c>
      <c r="B8" s="2" t="inlineStr">
        <is>
          <t>Dhaka</t>
        </is>
      </c>
      <c r="C8" s="2" t="inlineStr">
        <is>
          <t>Fahim</t>
        </is>
      </c>
      <c r="D8" s="2" t="inlineStr">
        <is>
          <t>Tablet</t>
        </is>
      </c>
      <c r="E8" s="3" t="n">
        <v>7</v>
      </c>
      <c r="F8" s="4" t="n">
        <v>15000</v>
      </c>
      <c r="G8" s="4">
        <f>E8*F8</f>
        <v/>
      </c>
    </row>
    <row r="9">
      <c r="A9" s="2" t="inlineStr">
        <is>
          <t>2026-03-15</t>
        </is>
      </c>
      <c r="B9" s="2" t="inlineStr">
        <is>
          <t>Sylhet</t>
        </is>
      </c>
      <c r="C9" s="2" t="inlineStr">
        <is>
          <t>Bayzid</t>
        </is>
      </c>
      <c r="D9" s="2" t="inlineStr">
        <is>
          <t>Monitor</t>
        </is>
      </c>
      <c r="E9" s="3" t="n">
        <v>20</v>
      </c>
      <c r="F9" s="4" t="n">
        <v>12000</v>
      </c>
      <c r="G9" s="4">
        <f>E9*F9</f>
        <v/>
      </c>
    </row>
    <row r="10">
      <c r="A10" s="2" t="inlineStr">
        <is>
          <t>2026-03-22</t>
        </is>
      </c>
      <c r="B10" s="2" t="inlineStr">
        <is>
          <t>Chittagong</t>
        </is>
      </c>
      <c r="C10" s="2" t="inlineStr">
        <is>
          <t>Roni</t>
        </is>
      </c>
      <c r="D10" s="2" t="inlineStr">
        <is>
          <t>Laptop</t>
        </is>
      </c>
      <c r="E10" s="3" t="n">
        <v>4</v>
      </c>
      <c r="F10" s="4" t="n">
        <v>45000</v>
      </c>
      <c r="G10" s="4">
        <f>E10*F10</f>
        <v/>
      </c>
    </row>
    <row r="11">
      <c r="A11" s="2" t="inlineStr">
        <is>
          <t>2026-04-05</t>
        </is>
      </c>
      <c r="B11" s="2" t="inlineStr">
        <is>
          <t>Dhaka</t>
        </is>
      </c>
      <c r="C11" s="2" t="inlineStr">
        <is>
          <t>Amin</t>
        </is>
      </c>
      <c r="D11" s="2" t="inlineStr">
        <is>
          <t>Phone</t>
        </is>
      </c>
      <c r="E11" s="3" t="n">
        <v>9</v>
      </c>
      <c r="F11" s="4" t="n">
        <v>25000</v>
      </c>
      <c r="G11" s="4">
        <f>E11*F11</f>
        <v/>
      </c>
    </row>
    <row r="12">
      <c r="A12" s="2" t="inlineStr">
        <is>
          <t>2026-04-12</t>
        </is>
      </c>
      <c r="B12" s="2" t="inlineStr">
        <is>
          <t>Sylhet</t>
        </is>
      </c>
      <c r="C12" s="2" t="inlineStr">
        <is>
          <t>Karim</t>
        </is>
      </c>
      <c r="D12" s="2" t="inlineStr">
        <is>
          <t>Tablet</t>
        </is>
      </c>
      <c r="E12" s="3" t="n">
        <v>14</v>
      </c>
      <c r="F12" s="4" t="n">
        <v>15000</v>
      </c>
      <c r="G12" s="4">
        <f>E12*F12</f>
        <v/>
      </c>
    </row>
    <row r="13">
      <c r="A13" s="2" t="inlineStr">
        <is>
          <t>2026-04-25</t>
        </is>
      </c>
      <c r="B13" s="2" t="inlineStr">
        <is>
          <t>Chittagong</t>
        </is>
      </c>
      <c r="C13" s="2" t="inlineStr">
        <is>
          <t>Nusrat</t>
        </is>
      </c>
      <c r="D13" s="2" t="inlineStr">
        <is>
          <t>Monitor</t>
        </is>
      </c>
      <c r="E13" s="3" t="n">
        <v>6</v>
      </c>
      <c r="F13" s="4" t="n">
        <v>12000</v>
      </c>
      <c r="G13" s="4">
        <f>E13*F13</f>
        <v/>
      </c>
    </row>
    <row r="14">
      <c r="A14" s="2" t="inlineStr">
        <is>
          <t>2026-05-02</t>
        </is>
      </c>
      <c r="B14" s="2" t="inlineStr">
        <is>
          <t>Dhaka</t>
        </is>
      </c>
      <c r="C14" s="2" t="inlineStr">
        <is>
          <t>Fahim</t>
        </is>
      </c>
      <c r="D14" s="2" t="inlineStr">
        <is>
          <t>Laptop</t>
        </is>
      </c>
      <c r="E14" s="3" t="n">
        <v>6</v>
      </c>
      <c r="F14" s="4" t="n">
        <v>45000</v>
      </c>
      <c r="G14" s="4">
        <f>E14*F14</f>
        <v/>
      </c>
    </row>
    <row r="15">
      <c r="A15" s="2" t="inlineStr">
        <is>
          <t>2026-05-14</t>
        </is>
      </c>
      <c r="B15" s="2" t="inlineStr">
        <is>
          <t>Sylhet</t>
        </is>
      </c>
      <c r="C15" s="2" t="inlineStr">
        <is>
          <t>Bayzid</t>
        </is>
      </c>
      <c r="D15" s="2" t="inlineStr">
        <is>
          <t>Phone</t>
        </is>
      </c>
      <c r="E15" s="3" t="n">
        <v>15</v>
      </c>
      <c r="F15" s="4" t="n">
        <v>25000</v>
      </c>
      <c r="G15" s="4">
        <f>E15*F15</f>
        <v/>
      </c>
    </row>
    <row r="16">
      <c r="A16" s="2" t="inlineStr">
        <is>
          <t>2026-05-28</t>
        </is>
      </c>
      <c r="B16" s="2" t="inlineStr">
        <is>
          <t>Chittagong</t>
        </is>
      </c>
      <c r="C16" s="2" t="inlineStr">
        <is>
          <t>Roni</t>
        </is>
      </c>
      <c r="D16" s="2" t="inlineStr">
        <is>
          <t>Tablet</t>
        </is>
      </c>
      <c r="E16" s="3" t="n">
        <v>10</v>
      </c>
      <c r="F16" s="4" t="n">
        <v>15000</v>
      </c>
      <c r="G16" s="4">
        <f>E16*F16</f>
        <v/>
      </c>
    </row>
    <row r="17">
      <c r="A17" s="2" t="inlineStr">
        <is>
          <t>2026-06-02</t>
        </is>
      </c>
      <c r="B17" s="2" t="inlineStr">
        <is>
          <t>Dhaka</t>
        </is>
      </c>
      <c r="C17" s="2" t="inlineStr">
        <is>
          <t>Amin</t>
        </is>
      </c>
      <c r="D17" s="2" t="inlineStr">
        <is>
          <t>Monitor</t>
        </is>
      </c>
      <c r="E17" s="3" t="n">
        <v>11</v>
      </c>
      <c r="F17" s="4" t="n">
        <v>12000</v>
      </c>
      <c r="G17" s="4">
        <f>E17*F17</f>
        <v/>
      </c>
    </row>
    <row r="18">
      <c r="A18" s="2" t="inlineStr">
        <is>
          <t>2026-06-12</t>
        </is>
      </c>
      <c r="B18" s="2" t="inlineStr">
        <is>
          <t>Sylhet</t>
        </is>
      </c>
      <c r="C18" s="2" t="inlineStr">
        <is>
          <t>Karim</t>
        </is>
      </c>
      <c r="D18" s="2" t="inlineStr">
        <is>
          <t>Laptop</t>
        </is>
      </c>
      <c r="E18" s="3" t="n">
        <v>5</v>
      </c>
      <c r="F18" s="4" t="n">
        <v>45000</v>
      </c>
      <c r="G18" s="4">
        <f>E18*F18</f>
        <v/>
      </c>
    </row>
    <row r="19">
      <c r="A19" s="2" t="inlineStr">
        <is>
          <t>2026-06-20</t>
        </is>
      </c>
      <c r="B19" s="2" t="inlineStr">
        <is>
          <t>Chittagong</t>
        </is>
      </c>
      <c r="C19" s="2" t="inlineStr">
        <is>
          <t>Nusrat</t>
        </is>
      </c>
      <c r="D19" s="2" t="inlineStr">
        <is>
          <t>Phone</t>
        </is>
      </c>
      <c r="E19" s="3" t="n">
        <v>8</v>
      </c>
      <c r="F19" s="4" t="n">
        <v>25000</v>
      </c>
      <c r="G19" s="4">
        <f>E19*F19</f>
        <v/>
      </c>
    </row>
    <row r="20">
      <c r="A20" s="2" t="inlineStr">
        <is>
          <t>2026-07-04</t>
        </is>
      </c>
      <c r="B20" s="2" t="inlineStr">
        <is>
          <t>Dhaka</t>
        </is>
      </c>
      <c r="C20" s="2" t="inlineStr">
        <is>
          <t>Fahim</t>
        </is>
      </c>
      <c r="D20" s="2" t="inlineStr">
        <is>
          <t>Tablet</t>
        </is>
      </c>
      <c r="E20" s="3" t="n">
        <v>9</v>
      </c>
      <c r="F20" s="4" t="n">
        <v>15000</v>
      </c>
      <c r="G20" s="4">
        <f>E20*F20</f>
        <v/>
      </c>
    </row>
    <row r="21">
      <c r="A21" s="2" t="inlineStr">
        <is>
          <t>2026-07-18</t>
        </is>
      </c>
      <c r="B21" s="2" t="inlineStr">
        <is>
          <t>Sylhet</t>
        </is>
      </c>
      <c r="C21" s="2" t="inlineStr">
        <is>
          <t>Bayzid</t>
        </is>
      </c>
      <c r="D21" s="2" t="inlineStr">
        <is>
          <t>Monitor</t>
        </is>
      </c>
      <c r="E21" s="3" t="n">
        <v>13</v>
      </c>
      <c r="F21" s="4" t="n">
        <v>12000</v>
      </c>
      <c r="G21" s="4">
        <f>E21*F21</f>
        <v/>
      </c>
    </row>
    <row r="22">
      <c r="A22" s="2" t="inlineStr">
        <is>
          <t>2026-08-05</t>
        </is>
      </c>
      <c r="B22" s="2" t="inlineStr">
        <is>
          <t>Chittagong</t>
        </is>
      </c>
      <c r="C22" s="2" t="inlineStr">
        <is>
          <t>Roni</t>
        </is>
      </c>
      <c r="D22" s="2" t="inlineStr">
        <is>
          <t>Laptop</t>
        </is>
      </c>
      <c r="E22" s="3" t="n">
        <v>2</v>
      </c>
      <c r="F22" s="4" t="n">
        <v>45000</v>
      </c>
      <c r="G22" s="4">
        <f>E22*F22</f>
        <v/>
      </c>
    </row>
    <row r="23">
      <c r="A23" s="2" t="inlineStr">
        <is>
          <t>2026-08-15</t>
        </is>
      </c>
      <c r="B23" s="2" t="inlineStr">
        <is>
          <t>Dhaka</t>
        </is>
      </c>
      <c r="C23" s="2" t="inlineStr">
        <is>
          <t>Amin</t>
        </is>
      </c>
      <c r="D23" s="2" t="inlineStr">
        <is>
          <t>Phone</t>
        </is>
      </c>
      <c r="E23" s="3" t="n">
        <v>14</v>
      </c>
      <c r="F23" s="4" t="n">
        <v>25000</v>
      </c>
      <c r="G23" s="4">
        <f>E23*F23</f>
        <v/>
      </c>
    </row>
    <row r="24">
      <c r="A24" s="2" t="inlineStr">
        <is>
          <t>2026-08-22</t>
        </is>
      </c>
      <c r="B24" s="2" t="inlineStr">
        <is>
          <t>Sylhet</t>
        </is>
      </c>
      <c r="C24" s="2" t="inlineStr">
        <is>
          <t>Karim</t>
        </is>
      </c>
      <c r="D24" s="2" t="inlineStr">
        <is>
          <t>Tablet</t>
        </is>
      </c>
      <c r="E24" s="3" t="n">
        <v>6</v>
      </c>
      <c r="F24" s="4" t="n">
        <v>15000</v>
      </c>
      <c r="G24" s="4">
        <f>E24*F24</f>
        <v/>
      </c>
    </row>
    <row r="25">
      <c r="A25" s="2" t="inlineStr">
        <is>
          <t>2026-09-05</t>
        </is>
      </c>
      <c r="B25" s="2" t="inlineStr">
        <is>
          <t>Chittagong</t>
        </is>
      </c>
      <c r="C25" s="2" t="inlineStr">
        <is>
          <t>Nusrat</t>
        </is>
      </c>
      <c r="D25" s="2" t="inlineStr">
        <is>
          <t>Monitor</t>
        </is>
      </c>
      <c r="E25" s="3" t="n">
        <v>18</v>
      </c>
      <c r="F25" s="4" t="n">
        <v>12000</v>
      </c>
      <c r="G25" s="4">
        <f>E25*F25</f>
        <v/>
      </c>
    </row>
    <row r="26">
      <c r="A26" s="2" t="inlineStr">
        <is>
          <t>2026-09-18</t>
        </is>
      </c>
      <c r="B26" s="2" t="inlineStr">
        <is>
          <t>Dhaka</t>
        </is>
      </c>
      <c r="C26" s="2" t="inlineStr">
        <is>
          <t>Fahim</t>
        </is>
      </c>
      <c r="D26" s="2" t="inlineStr">
        <is>
          <t>Laptop</t>
        </is>
      </c>
      <c r="E26" s="3" t="n">
        <v>4</v>
      </c>
      <c r="F26" s="4" t="n">
        <v>45000</v>
      </c>
      <c r="G26" s="4">
        <f>E26*F26</f>
        <v/>
      </c>
    </row>
    <row r="27">
      <c r="A27" s="2" t="inlineStr">
        <is>
          <t>2026-10-02</t>
        </is>
      </c>
      <c r="B27" s="2" t="inlineStr">
        <is>
          <t>Sylhet</t>
        </is>
      </c>
      <c r="C27" s="2" t="inlineStr">
        <is>
          <t>Bayzid</t>
        </is>
      </c>
      <c r="D27" s="2" t="inlineStr">
        <is>
          <t>Laptop</t>
        </is>
      </c>
      <c r="E27" s="3" t="n">
        <v>3</v>
      </c>
      <c r="F27" s="4" t="n">
        <v>45000</v>
      </c>
      <c r="G27" s="4">
        <f>E27*F27</f>
        <v/>
      </c>
    </row>
    <row r="28">
      <c r="A28" s="2" t="inlineStr">
        <is>
          <t>2026-10-15</t>
        </is>
      </c>
      <c r="B28" s="2" t="inlineStr">
        <is>
          <t>Dhaka</t>
        </is>
      </c>
      <c r="C28" s="2" t="inlineStr">
        <is>
          <t>Amin</t>
        </is>
      </c>
      <c r="D28" s="2" t="inlineStr">
        <is>
          <t>Phone</t>
        </is>
      </c>
      <c r="E28" s="3" t="n">
        <v>5</v>
      </c>
      <c r="F28" s="4" t="n">
        <v>25000</v>
      </c>
      <c r="G28" s="4">
        <f>E28*F28</f>
        <v/>
      </c>
    </row>
    <row r="29">
      <c r="A29" s="2" t="inlineStr">
        <is>
          <t>2026-11-05</t>
        </is>
      </c>
      <c r="B29" s="2" t="inlineStr">
        <is>
          <t>Chittagong</t>
        </is>
      </c>
      <c r="C29" s="2" t="inlineStr">
        <is>
          <t>Nusrat</t>
        </is>
      </c>
      <c r="D29" s="2" t="inlineStr">
        <is>
          <t>Tablet</t>
        </is>
      </c>
      <c r="E29" s="3" t="n">
        <v>7</v>
      </c>
      <c r="F29" s="4" t="n">
        <v>15000</v>
      </c>
      <c r="G29" s="4">
        <f>E29*F29</f>
        <v/>
      </c>
    </row>
    <row r="30">
      <c r="A30" s="2" t="inlineStr">
        <is>
          <t>2026-11-20</t>
        </is>
      </c>
      <c r="B30" s="2" t="inlineStr">
        <is>
          <t>Sylhet</t>
        </is>
      </c>
      <c r="C30" s="2" t="inlineStr">
        <is>
          <t>Karim</t>
        </is>
      </c>
      <c r="D30" s="2" t="inlineStr">
        <is>
          <t>Monitor</t>
        </is>
      </c>
      <c r="E30" s="3" t="n">
        <v>10</v>
      </c>
      <c r="F30" s="4" t="n">
        <v>12000</v>
      </c>
      <c r="G30" s="4">
        <f>E30*F30</f>
        <v/>
      </c>
    </row>
    <row r="31">
      <c r="A31" s="2" t="inlineStr">
        <is>
          <t>2026-12-01</t>
        </is>
      </c>
      <c r="B31" s="2" t="inlineStr">
        <is>
          <t>Dhaka</t>
        </is>
      </c>
      <c r="C31" s="2" t="inlineStr">
        <is>
          <t>Fahim</t>
        </is>
      </c>
      <c r="D31" s="2" t="inlineStr">
        <is>
          <t>Laptop</t>
        </is>
      </c>
      <c r="E31" s="3" t="n">
        <v>2</v>
      </c>
      <c r="F31" s="4" t="n">
        <v>45000</v>
      </c>
      <c r="G31" s="4">
        <f>E31*F31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Sum of Total Sales</t>
        </is>
      </c>
    </row>
    <row r="2"/>
    <row r="3">
      <c r="A3" s="6" t="inlineStr">
        <is>
          <t>Region</t>
        </is>
      </c>
      <c r="B3" s="6" t="inlineStr">
        <is>
          <t>Laptop</t>
        </is>
      </c>
      <c r="C3" s="6" t="inlineStr">
        <is>
          <t>Monitor</t>
        </is>
      </c>
      <c r="D3" s="6" t="inlineStr">
        <is>
          <t>Phone</t>
        </is>
      </c>
      <c r="E3" s="6" t="inlineStr">
        <is>
          <t>Tablet</t>
        </is>
      </c>
      <c r="F3" s="6" t="inlineStr">
        <is>
          <t>Tech Devices (Calc Item)</t>
        </is>
      </c>
      <c r="G3" s="6" t="inlineStr">
        <is>
          <t>Grand Total</t>
        </is>
      </c>
      <c r="H3" s="6" t="inlineStr">
        <is>
          <t>Average Sales per product (Calc Field)</t>
        </is>
      </c>
    </row>
    <row r="4">
      <c r="A4" s="7" t="inlineStr">
        <is>
          <t>Chittagong</t>
        </is>
      </c>
      <c r="B4" s="4" t="n">
        <v>270000</v>
      </c>
      <c r="C4" s="4" t="n">
        <v>288000</v>
      </c>
      <c r="D4" s="4" t="n">
        <v>450000</v>
      </c>
      <c r="E4" s="4" t="n">
        <v>225000</v>
      </c>
      <c r="F4" s="8">
        <f>B4+C4</f>
        <v/>
      </c>
      <c r="G4" s="8">
        <f>SUM(B4:E4)</f>
        <v/>
      </c>
      <c r="H4" s="8">
        <f>G4/SUM('Sales Raw Data'!E4, 'Sales Raw Data'!E7)</f>
        <v/>
      </c>
    </row>
    <row r="5">
      <c r="A5" s="7" t="inlineStr">
        <is>
          <t>Dhaka</t>
        </is>
      </c>
      <c r="B5" s="4" t="n">
        <v>675000</v>
      </c>
      <c r="C5" s="4" t="n">
        <v>312000</v>
      </c>
      <c r="D5" s="4" t="n">
        <v>475000</v>
      </c>
      <c r="E5" s="4" t="n">
        <v>240000</v>
      </c>
      <c r="F5" s="8">
        <f>B5+C5</f>
        <v/>
      </c>
      <c r="G5" s="8">
        <f>SUM(B5:E5)</f>
        <v/>
      </c>
      <c r="H5" s="8">
        <f>G5/25</f>
        <v/>
      </c>
    </row>
    <row r="6">
      <c r="A6" s="7" t="inlineStr">
        <is>
          <t>Sylhet</t>
        </is>
      </c>
      <c r="B6" s="4" t="n">
        <v>495000</v>
      </c>
      <c r="C6" s="4" t="n">
        <v>360000</v>
      </c>
      <c r="D6" s="4" t="n">
        <v>675000</v>
      </c>
      <c r="E6" s="4" t="n">
        <v>300000</v>
      </c>
      <c r="F6" s="8">
        <f>B6+C6</f>
        <v/>
      </c>
      <c r="G6" s="8">
        <f>SUM(B6:E6)</f>
        <v/>
      </c>
      <c r="H6" s="8">
        <f>G6/30</f>
        <v/>
      </c>
    </row>
    <row r="7">
      <c r="A7" s="9" t="inlineStr">
        <is>
          <t>Grand 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  <c r="F7" s="10">
        <f>SUM(F4:F6)</f>
        <v/>
      </c>
      <c r="G7" s="10">
        <f>SUM(G4:G6)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1" t="inlineStr">
        <is>
          <t>Goal Seek Analysis Result (Target: Total Sales = ৳500,000)</t>
        </is>
      </c>
    </row>
    <row r="2"/>
    <row r="3">
      <c r="A3" s="12" t="inlineStr">
        <is>
          <t>Status</t>
        </is>
      </c>
      <c r="B3" s="12" t="inlineStr">
        <is>
          <t>Order Date</t>
        </is>
      </c>
      <c r="C3" s="12" t="inlineStr">
        <is>
          <t>Region</t>
        </is>
      </c>
      <c r="D3" s="12" t="inlineStr">
        <is>
          <t>Salesperson</t>
        </is>
      </c>
      <c r="E3" s="12" t="inlineStr">
        <is>
          <t>Product</t>
        </is>
      </c>
      <c r="F3" s="12" t="inlineStr">
        <is>
          <t>Quantity</t>
        </is>
      </c>
      <c r="G3" s="12" t="inlineStr">
        <is>
          <t>Unit Price</t>
        </is>
      </c>
      <c r="H3" s="12" t="inlineStr">
        <is>
          <t>Total Sales</t>
        </is>
      </c>
    </row>
    <row r="4">
      <c r="A4" s="2" t="inlineStr">
        <is>
          <t>Original</t>
        </is>
      </c>
      <c r="B4" s="13" t="inlineStr">
        <is>
          <t>2026-01-10</t>
        </is>
      </c>
      <c r="C4" s="13" t="inlineStr">
        <is>
          <t>Dhaka</t>
        </is>
      </c>
      <c r="D4" s="13" t="inlineStr">
        <is>
          <t>Amin</t>
        </is>
      </c>
      <c r="E4" s="13" t="inlineStr">
        <is>
          <t>Laptop</t>
        </is>
      </c>
      <c r="F4" s="14" t="n">
        <v>5</v>
      </c>
      <c r="G4" s="15" t="n">
        <v>45000</v>
      </c>
      <c r="H4" s="15">
        <f>F4*G4</f>
        <v/>
      </c>
    </row>
    <row r="5">
      <c r="A5" s="16" t="inlineStr">
        <is>
          <t>After Goal Seek</t>
        </is>
      </c>
      <c r="B5" s="13" t="inlineStr">
        <is>
          <t>2026-01-10</t>
        </is>
      </c>
      <c r="C5" s="13" t="inlineStr">
        <is>
          <t>Dhaka</t>
        </is>
      </c>
      <c r="D5" s="13" t="inlineStr">
        <is>
          <t>Amin</t>
        </is>
      </c>
      <c r="E5" s="13" t="inlineStr">
        <is>
          <t>Laptop</t>
        </is>
      </c>
      <c r="F5" s="17" t="n">
        <v>11.11</v>
      </c>
      <c r="G5" s="15" t="n">
        <v>45000</v>
      </c>
      <c r="H5" s="15" t="n">
        <v>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8" t="inlineStr">
        <is>
          <t>Scenario Summary Report</t>
        </is>
      </c>
    </row>
    <row r="2"/>
    <row r="3">
      <c r="A3" s="19" t="inlineStr">
        <is>
          <t>Changing Cells / Results</t>
        </is>
      </c>
      <c r="B3" s="19" t="inlineStr">
        <is>
          <t>Current Values</t>
        </is>
      </c>
      <c r="C3" s="19" t="inlineStr">
        <is>
          <t>Low Sales Scenario</t>
        </is>
      </c>
      <c r="D3" s="19" t="inlineStr">
        <is>
          <t>Medium Sales Scenario</t>
        </is>
      </c>
      <c r="E3" s="19" t="inlineStr">
        <is>
          <t>High Sales Scenario</t>
        </is>
      </c>
    </row>
    <row r="4">
      <c r="A4" s="20" t="inlineStr">
        <is>
          <t>Quantity (E2)</t>
        </is>
      </c>
      <c r="B4" s="8" t="n">
        <v>5</v>
      </c>
      <c r="C4" s="8" t="n">
        <v>2</v>
      </c>
      <c r="D4" s="8" t="n">
        <v>6</v>
      </c>
      <c r="E4" s="8" t="n">
        <v>15</v>
      </c>
    </row>
    <row r="5">
      <c r="A5" s="20" t="inlineStr">
        <is>
          <t>Unit Price (F2)</t>
        </is>
      </c>
      <c r="B5" s="4" t="n">
        <v>45000</v>
      </c>
      <c r="C5" s="4" t="n">
        <v>40000</v>
      </c>
      <c r="D5" s="4" t="n">
        <v>45000</v>
      </c>
      <c r="E5" s="4" t="n">
        <v>50000</v>
      </c>
    </row>
    <row r="6">
      <c r="A6" s="20" t="inlineStr">
        <is>
          <t>Total Sales (G2)</t>
        </is>
      </c>
      <c r="B6" s="8">
        <f>B4*B5</f>
        <v/>
      </c>
      <c r="C6" s="8">
        <f>C4*C5</f>
        <v/>
      </c>
      <c r="D6" s="8">
        <f>D4*D5</f>
        <v/>
      </c>
      <c r="E6" s="8">
        <f>E4*E5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1" t="inlineStr">
        <is>
          <t>Using PIVOTBY Function Summary</t>
        </is>
      </c>
    </row>
    <row r="2"/>
    <row r="3">
      <c r="A3" s="21" t="inlineStr">
        <is>
          <t>Formula applied in Cell A5:</t>
        </is>
      </c>
      <c r="C3" s="22">
        <f>PIVOTBY('Sales Raw Data'!B1:B31, 'Sales Raw Data'!D1:D31, 'Sales Raw Data'!G1:G31, SUM)</f>
        <v/>
      </c>
    </row>
    <row r="4"/>
    <row r="5">
      <c r="A5" s="23" t="inlineStr">
        <is>
          <t>Row Labels (Region)</t>
        </is>
      </c>
      <c r="B5" s="23" t="inlineStr">
        <is>
          <t>Laptop</t>
        </is>
      </c>
      <c r="C5" s="23" t="inlineStr">
        <is>
          <t>Monitor</t>
        </is>
      </c>
      <c r="D5" s="23" t="inlineStr">
        <is>
          <t>Phone</t>
        </is>
      </c>
      <c r="E5" s="23" t="inlineStr">
        <is>
          <t>Tablet</t>
        </is>
      </c>
      <c r="F5" s="23" t="inlineStr">
        <is>
          <t>Grand Total</t>
        </is>
      </c>
    </row>
    <row r="6">
      <c r="A6" s="24" t="inlineStr">
        <is>
          <t>Chittagong</t>
        </is>
      </c>
      <c r="B6" s="4" t="n">
        <v>270000</v>
      </c>
      <c r="C6" s="4" t="n">
        <v>288000</v>
      </c>
      <c r="D6" s="4" t="n">
        <v>450000</v>
      </c>
      <c r="E6" s="4" t="n">
        <v>225000</v>
      </c>
      <c r="F6" s="8">
        <f>SUM(B6:E6)</f>
        <v/>
      </c>
    </row>
    <row r="7">
      <c r="A7" s="24" t="inlineStr">
        <is>
          <t>Dhaka</t>
        </is>
      </c>
      <c r="B7" s="4" t="n">
        <v>675000</v>
      </c>
      <c r="C7" s="4" t="n">
        <v>312000</v>
      </c>
      <c r="D7" s="4" t="n">
        <v>475000</v>
      </c>
      <c r="E7" s="4" t="n">
        <v>240000</v>
      </c>
      <c r="F7" s="8">
        <f>SUM(B7:E7)</f>
        <v/>
      </c>
    </row>
    <row r="8">
      <c r="A8" s="24" t="inlineStr">
        <is>
          <t>Sylhet</t>
        </is>
      </c>
      <c r="B8" s="4" t="n">
        <v>495000</v>
      </c>
      <c r="C8" s="4" t="n">
        <v>360000</v>
      </c>
      <c r="D8" s="4" t="n">
        <v>675000</v>
      </c>
      <c r="E8" s="4" t="n">
        <v>300000</v>
      </c>
      <c r="F8" s="8">
        <f>SUM(B8:E8)</f>
        <v/>
      </c>
    </row>
    <row r="9">
      <c r="A9" s="24" t="inlineStr">
        <is>
          <t>Grand Total</t>
        </is>
      </c>
      <c r="B9" s="25">
        <f>SUM(B6:B8)</f>
        <v/>
      </c>
      <c r="C9" s="25">
        <f>SUM(C6:C8)</f>
        <v/>
      </c>
      <c r="D9" s="25">
        <f>SUM(D6:D8)</f>
        <v/>
      </c>
      <c r="E9" s="25">
        <f>SUM(E6:E8)</f>
        <v/>
      </c>
      <c r="F9" s="25">
        <f>SUM(F6:F8)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2026-06-26T21:03:43Z</dcterms:created>
  <dcterms:modified xmlns:dcterms="http://purl.org/dc/terms/" xmlns:xsi="http://www.w3.org/2001/XMLSchema-instance" xsi:type="dcterms:W3CDTF">2026-06-26T21:03:43Z</dcterms:modified>
</cp:coreProperties>
</file>